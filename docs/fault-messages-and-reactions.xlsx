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ources\spine-cooling-runtime\docs\"/>
    </mc:Choice>
  </mc:AlternateContent>
  <xr:revisionPtr revIDLastSave="0" documentId="11_E8577E07AEED78B02D92E70DB0687337FADC76C8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aults" sheetId="1" r:id="rId1"/>
    <sheet name="Limits" sheetId="2" r:id="rId2"/>
  </sheets>
  <definedNames>
    <definedName name="_xlnm._FilterDatabase" localSheetId="0" hidden="1">Faults!$A$4:$G$16</definedName>
    <definedName name="_xlnm.Print_Titles" localSheetId="0">Faults!$1:$4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F16" i="1"/>
  <c r="E16" i="1"/>
  <c r="G15" i="1"/>
  <c r="F15" i="1"/>
  <c r="E15" i="1"/>
  <c r="G14" i="1"/>
  <c r="G13" i="1"/>
  <c r="E13" i="1"/>
  <c r="G12" i="1"/>
  <c r="E12" i="1"/>
  <c r="G11" i="1"/>
  <c r="F11" i="1"/>
  <c r="E11" i="1"/>
  <c r="G10" i="1"/>
  <c r="F10" i="1"/>
  <c r="E10" i="1"/>
  <c r="G9" i="1"/>
  <c r="E9" i="1"/>
  <c r="G8" i="1"/>
  <c r="G7" i="1"/>
  <c r="G6" i="1"/>
  <c r="G5" i="1"/>
  <c r="D2" i="1"/>
  <c r="B2" i="1"/>
</calcChain>
</file>

<file path=xl/sharedStrings.xml><?xml version="1.0" encoding="utf-8"?>
<sst xmlns="http://schemas.openxmlformats.org/spreadsheetml/2006/main" count="97" uniqueCount="82">
  <si>
    <t>Fault messages and reactions</t>
  </si>
  <si>
    <t>Stop faults</t>
  </si>
  <si>
    <t>Warnings</t>
  </si>
  <si>
    <t>Messages are the strings in src/fault_catalog.py. Trip conditions and reactions follow src/safety_rules.py and src/main.py. Blue values on the Limits sheet are the config.yaml thresholds; sentences that use them update from that sheet. Stop rows are in latch priority order. If several stop faults are active, only the first one is shown.</t>
  </si>
  <si>
    <t>No.</t>
  </si>
  <si>
    <t>Code</t>
  </si>
  <si>
    <t>Message</t>
  </si>
  <si>
    <t>Class</t>
  </si>
  <si>
    <t>When it trips</t>
  </si>
  <si>
    <t>Reaction</t>
  </si>
  <si>
    <t>Shared reaction</t>
  </si>
  <si>
    <t>IO_READ_FAILURE</t>
  </si>
  <si>
    <t>Sensor read failure</t>
  </si>
  <si>
    <t>Stop</t>
  </si>
  <si>
    <t>A sensor read throws. The chip shows the exception text.</t>
  </si>
  <si>
    <t>Acknowledge is allowed immediately. The next failed read trips again.</t>
  </si>
  <si>
    <t>LEVEL_SENSOR</t>
  </si>
  <si>
    <t>Level sensor failure detected</t>
  </si>
  <si>
    <t>Cooling or pumping, and a level switch is not OK.</t>
  </si>
  <si>
    <t>Acknowledge stays off until both level switches read OK.</t>
  </si>
  <si>
    <t>CARTRIDGE_REMOVED</t>
  </si>
  <si>
    <t>Cartridge removed during operation</t>
  </si>
  <si>
    <t>Cooling or pumping, and the cartridge is not seated.</t>
  </si>
  <si>
    <t>Acknowledge stays off until the cartridge switch reads ON.</t>
  </si>
  <si>
    <t>FRIDGE_DEFECT</t>
  </si>
  <si>
    <t>Fridge defect</t>
  </si>
  <si>
    <t>A fridge-defect flag. The live tick leaves that flag empty.</t>
  </si>
  <si>
    <t>Acknowledge stays off until the defect flag clears.</t>
  </si>
  <si>
    <t>LEAK_DETECTED</t>
  </si>
  <si>
    <t>Leak detected</t>
  </si>
  <si>
    <t>Acknowledge stays off until the leak sensor reads dry.</t>
  </si>
  <si>
    <t>CSF_LOW_TEMP</t>
  </si>
  <si>
    <t>CSF low temp</t>
  </si>
  <si>
    <t>HEAT_EX_TOO_COLD</t>
  </si>
  <si>
    <t>Heat exchanger too cold</t>
  </si>
  <si>
    <t>COOLING_INEFFECTIVE</t>
  </si>
  <si>
    <t>Cooling ineffective</t>
  </si>
  <si>
    <t>Acknowledge is available on the next tick. Stopping the pump clears the rule.</t>
  </si>
  <si>
    <t>BATTERY_LOW</t>
  </si>
  <si>
    <t>Battery low</t>
  </si>
  <si>
    <t>Yellow banner. The session continues.</t>
  </si>
  <si>
    <t>USB_NOT_PRESENT</t>
  </si>
  <si>
    <t>USB stick not present</t>
  </si>
  <si>
    <t>USB logging is on and no SPINELOGS stick is mounted.</t>
  </si>
  <si>
    <t>Yellow banner. Logged once per session.</t>
  </si>
  <si>
    <t>SD_STORAGE_LOW</t>
  </si>
  <si>
    <t>SD card storage below 1 GB</t>
  </si>
  <si>
    <t>USB_STORAGE_LOW</t>
  </si>
  <si>
    <t>USB stick storage below 1 GB</t>
  </si>
  <si>
    <t>Shared reaction follows Class. Fridge defect and battery low have no live reading yet. Leak detection is off in config.yaml.</t>
  </si>
  <si>
    <t>Limits used by the fault list</t>
  </si>
  <si>
    <t>Yellow cells with blue text are the config.yaml values as of this list. The Faults sheet reads them. The on-screen message strings stay on the Faults sheet because those are fixed in the fault catalog.</t>
  </si>
  <si>
    <t>Setting</t>
  </si>
  <si>
    <t>Value</t>
  </si>
  <si>
    <t>Unit</t>
  </si>
  <si>
    <t>Source</t>
  </si>
  <si>
    <t>CSF sensor</t>
  </si>
  <si>
    <t>Body Temp</t>
  </si>
  <si>
    <t>config.yaml alarms.csf_label</t>
  </si>
  <si>
    <t>°C</t>
  </si>
  <si>
    <t>config.yaml alarms.csf_low_temp_c</t>
  </si>
  <si>
    <t>Heat exchanger sensor</t>
  </si>
  <si>
    <t>Plate 1</t>
  </si>
  <si>
    <t>config.yaml alarms.heat_ex_label</t>
  </si>
  <si>
    <t>Heat exchanger minimum</t>
  </si>
  <si>
    <t>config.yaml alarms.heat_ex_min_c</t>
  </si>
  <si>
    <t>Cooling ineffective timeout</t>
  </si>
  <si>
    <t>s</t>
  </si>
  <si>
    <t>config.yaml alarms.cooling_ineffective_timeout_s</t>
  </si>
  <si>
    <t>Cooling ineffective drop</t>
  </si>
  <si>
    <t>config.yaml alarms.cooling_ineffective_csf_delta_c</t>
  </si>
  <si>
    <t>Battery warning</t>
  </si>
  <si>
    <t>%</t>
  </si>
  <si>
    <t>config.yaml alarms.battery_low_pct</t>
  </si>
  <si>
    <t>Storage minimum</t>
  </si>
  <si>
    <t>GB</t>
  </si>
  <si>
    <t>config.yaml alarms.storage_min_free_gb</t>
  </si>
  <si>
    <t>Leak debounce</t>
  </si>
  <si>
    <t>config.yaml alarms.leak_debounce_s</t>
  </si>
  <si>
    <t>Leak detection</t>
  </si>
  <si>
    <t>Off</t>
  </si>
  <si>
    <t>config.yaml alarms.leak_detection_enabled is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</si>
</sst>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6"/>
      <color rgb="FF1A3338"/>
      <name val="Arial"/>
    </font>
    <font>
      <b/>
      <sz val="11"/>
      <color rgb="FF1A3338"/>
      <name val="Arial"/>
    </font>
    <font>
      <b/>
      <sz val="14"/>
      <color rgb="FF1A3338"/>
      <name val="Arial"/>
    </font>
    <font>
      <i/>
      <sz val="10"/>
      <color rgb="FF245962"/>
      <name val="Arial"/>
    </font>
    <font>
      <b/>
      <sz val="11"/>
      <color rgb="FFFFFFFF"/>
      <name val="Arial"/>
    </font>
    <font>
      <sz val="11"/>
      <color rgb="FF1A3338"/>
      <name val="Arial"/>
    </font>
    <font>
      <sz val="11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0E6E78"/>
      </patternFill>
    </fill>
    <fill>
      <patternFill patternType="solid">
        <fgColor rgb="FFF3F6F7"/>
      </patternFill>
    </fill>
    <fill>
      <patternFill patternType="solid">
        <fgColor rgb="FFFFFF99"/>
      </patternFill>
    </fill>
  </fills>
  <borders count="2">
    <border>
      <left/>
      <right/>
      <top/>
      <bottom/>
      <diagonal/>
    </border>
    <border>
      <left style="thin">
        <color rgb="FFD0DADF"/>
      </left>
      <right style="thin">
        <color rgb="FFD0DADF"/>
      </right>
      <top style="thin">
        <color rgb="FFD0DADF"/>
      </top>
      <bottom style="thin">
        <color rgb="FFD0DAD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1" fontId="7" fillId="4" borderId="1" xfId="0" applyNumberFormat="1" applyFont="1" applyFill="1" applyBorder="1" applyAlignment="1">
      <alignment vertical="center"/>
    </xf>
    <xf numFmtId="164" fontId="7" fillId="4" borderId="1" xfId="0" applyNumberFormat="1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2">
    <dxf>
      <font>
        <b/>
        <sz val="11"/>
        <color rgb="FF0E6E78"/>
        <name val="Arial"/>
      </font>
      <fill>
        <patternFill patternType="solid">
          <fgColor rgb="FFE5F2F3"/>
        </patternFill>
      </fill>
    </dxf>
    <dxf>
      <font>
        <b/>
        <sz val="11"/>
        <color rgb="FFB5522A"/>
        <name val="Arial"/>
      </font>
      <fill>
        <patternFill patternType="solid">
          <fgColor rgb="FFF8E8E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6E78"/>
    <pageSetUpPr fitToPage="1"/>
  </sheetPr>
  <dimension ref="A1:G18"/>
  <sheetViews>
    <sheetView showGridLines="0" tabSelected="1" zoomScale="110" workbookViewId="0">
      <pane ySplit="4" topLeftCell="A5" activePane="bottomLeft" state="frozen"/>
      <selection pane="bottomLeft" sqref="A1:G1"/>
    </sheetView>
  </sheetViews>
  <sheetFormatPr defaultRowHeight="14.5" x14ac:dyDescent="0.35"/>
  <cols>
    <col min="1" max="1" width="8" customWidth="1"/>
    <col min="2" max="2" width="24" customWidth="1"/>
    <col min="3" max="3" width="40" customWidth="1"/>
    <col min="4" max="4" width="14" customWidth="1"/>
    <col min="5" max="6" width="62" customWidth="1"/>
    <col min="7" max="7" width="55" customWidth="1"/>
  </cols>
  <sheetData>
    <row r="1" spans="1:7" ht="24" customHeight="1" x14ac:dyDescent="0.4">
      <c r="A1" s="13" t="s">
        <v>0</v>
      </c>
      <c r="B1" s="12"/>
      <c r="C1" s="12"/>
      <c r="D1" s="12"/>
      <c r="E1" s="12"/>
      <c r="F1" s="12"/>
      <c r="G1" s="12"/>
    </row>
    <row r="2" spans="1:7" ht="18" x14ac:dyDescent="0.4">
      <c r="A2" s="1" t="s">
        <v>1</v>
      </c>
      <c r="B2" s="2">
        <f>COUNTIF(D5:D16,"Stop")</f>
        <v>8</v>
      </c>
      <c r="C2" s="1" t="s">
        <v>2</v>
      </c>
      <c r="D2" s="2">
        <f>COUNTIF(D5:D16,"Message")</f>
        <v>4</v>
      </c>
    </row>
    <row r="3" spans="1:7" ht="48" customHeight="1" x14ac:dyDescent="0.35">
      <c r="A3" s="11" t="s">
        <v>3</v>
      </c>
      <c r="B3" s="12"/>
      <c r="C3" s="12"/>
      <c r="D3" s="12"/>
      <c r="E3" s="12"/>
      <c r="F3" s="12"/>
      <c r="G3" s="12"/>
    </row>
    <row r="4" spans="1:7" x14ac:dyDescent="0.3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</row>
    <row r="5" spans="1:7" ht="48" customHeight="1" x14ac:dyDescent="0.35">
      <c r="A5" s="4">
        <v>1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tr">
        <f t="shared" ref="G5:G16" si="0">IF(D5="Stop","Enter Error. Stop the pump and turn the compressor off. Acknowledge returns to Ready.","Yellow banner only. The session keeps running. No acknowledge.")</f>
        <v>Enter Error. Stop the pump and turn the compressor off. Acknowledge returns to Ready.</v>
      </c>
    </row>
    <row r="6" spans="1:7" ht="48" customHeight="1" x14ac:dyDescent="0.35">
      <c r="A6" s="5">
        <v>2</v>
      </c>
      <c r="B6" s="5" t="s">
        <v>16</v>
      </c>
      <c r="C6" s="5" t="s">
        <v>17</v>
      </c>
      <c r="D6" s="5" t="s">
        <v>13</v>
      </c>
      <c r="E6" s="5" t="s">
        <v>18</v>
      </c>
      <c r="F6" s="5" t="s">
        <v>19</v>
      </c>
      <c r="G6" s="5" t="str">
        <f t="shared" si="0"/>
        <v>Enter Error. Stop the pump and turn the compressor off. Acknowledge returns to Ready.</v>
      </c>
    </row>
    <row r="7" spans="1:7" ht="48" customHeight="1" x14ac:dyDescent="0.35">
      <c r="A7" s="4">
        <v>3</v>
      </c>
      <c r="B7" s="4" t="s">
        <v>20</v>
      </c>
      <c r="C7" s="4" t="s">
        <v>21</v>
      </c>
      <c r="D7" s="4" t="s">
        <v>13</v>
      </c>
      <c r="E7" s="4" t="s">
        <v>22</v>
      </c>
      <c r="F7" s="4" t="s">
        <v>23</v>
      </c>
      <c r="G7" s="4" t="str">
        <f t="shared" si="0"/>
        <v>Enter Error. Stop the pump and turn the compressor off. Acknowledge returns to Ready.</v>
      </c>
    </row>
    <row r="8" spans="1:7" ht="48" customHeight="1" x14ac:dyDescent="0.35">
      <c r="A8" s="5">
        <v>4</v>
      </c>
      <c r="B8" s="5" t="s">
        <v>24</v>
      </c>
      <c r="C8" s="5" t="s">
        <v>25</v>
      </c>
      <c r="D8" s="5" t="s">
        <v>13</v>
      </c>
      <c r="E8" s="5" t="s">
        <v>26</v>
      </c>
      <c r="F8" s="5" t="s">
        <v>27</v>
      </c>
      <c r="G8" s="5" t="str">
        <f t="shared" si="0"/>
        <v>Enter Error. Stop the pump and turn the compressor off. Acknowledge returns to Ready.</v>
      </c>
    </row>
    <row r="9" spans="1:7" ht="48" customHeight="1" x14ac:dyDescent="0.35">
      <c r="A9" s="4">
        <v>5</v>
      </c>
      <c r="B9" s="4" t="s">
        <v>28</v>
      </c>
      <c r="C9" s="4" t="s">
        <v>29</v>
      </c>
      <c r="D9" s="4" t="s">
        <v>13</v>
      </c>
      <c r="E9" s="4" t="str">
        <f>CONCATENATE("Leak line stays low for ",TEXT(Limits!B13,"0.0")," s. Leak detection is ",LOWER(Limits!B14),".")</f>
        <v>Leak line stays low for 0.5 s. Leak detection is off.</v>
      </c>
      <c r="F9" s="4" t="s">
        <v>30</v>
      </c>
      <c r="G9" s="4" t="str">
        <f t="shared" si="0"/>
        <v>Enter Error. Stop the pump and turn the compressor off. Acknowledge returns to Ready.</v>
      </c>
    </row>
    <row r="10" spans="1:7" ht="48" customHeight="1" x14ac:dyDescent="0.35">
      <c r="A10" s="5">
        <v>6</v>
      </c>
      <c r="B10" s="5" t="s">
        <v>31</v>
      </c>
      <c r="C10" s="5" t="s">
        <v>32</v>
      </c>
      <c r="D10" s="5" t="s">
        <v>13</v>
      </c>
      <c r="E10" s="5" t="str">
        <f>CONCATENATE("Cooling or pumping, and ",Limits!B5," is below ",TEXT(Limits!B6,"0")," °C.")</f>
        <v>Cooling or pumping, and Body Temp is below 28 °C.</v>
      </c>
      <c r="F10" s="5" t="str">
        <f>CONCATENATE("Acknowledge stays off until ",Limits!B5," is at or above ",TEXT(Limits!B6,"0")," °C.")</f>
        <v>Acknowledge stays off until Body Temp is at or above 28 °C.</v>
      </c>
      <c r="G10" s="5" t="str">
        <f t="shared" si="0"/>
        <v>Enter Error. Stop the pump and turn the compressor off. Acknowledge returns to Ready.</v>
      </c>
    </row>
    <row r="11" spans="1:7" ht="48" customHeight="1" x14ac:dyDescent="0.35">
      <c r="A11" s="4">
        <v>7</v>
      </c>
      <c r="B11" s="4" t="s">
        <v>33</v>
      </c>
      <c r="C11" s="4" t="s">
        <v>34</v>
      </c>
      <c r="D11" s="4" t="s">
        <v>13</v>
      </c>
      <c r="E11" s="4" t="str">
        <f>CONCATENATE("Cooling or pumping, and ",Limits!B7," is below ",TEXT(Limits!B8,"0")," °C.")</f>
        <v>Cooling or pumping, and Plate 1 is below -10 °C.</v>
      </c>
      <c r="F11" s="4" t="str">
        <f>CONCATENATE("Acknowledge stays off until ",Limits!B7," is at or above ",TEXT(Limits!B8,"0")," °C.")</f>
        <v>Acknowledge stays off until Plate 1 is at or above -10 °C.</v>
      </c>
      <c r="G11" s="4" t="str">
        <f t="shared" si="0"/>
        <v>Enter Error. Stop the pump and turn the compressor off. Acknowledge returns to Ready.</v>
      </c>
    </row>
    <row r="12" spans="1:7" ht="48" customHeight="1" x14ac:dyDescent="0.35">
      <c r="A12" s="5">
        <v>8</v>
      </c>
      <c r="B12" s="5" t="s">
        <v>35</v>
      </c>
      <c r="C12" s="5" t="s">
        <v>36</v>
      </c>
      <c r="D12" s="5" t="s">
        <v>13</v>
      </c>
      <c r="E12" s="5" t="str">
        <f>CONCATENATE("Pump and compressor on, and ",Limits!B5," falls less than ",TEXT(Limits!B10,"0.0")," °C within ",TEXT(Limits!B9,"0")," s.")</f>
        <v>Pump and compressor on, and Body Temp falls less than 0.2 °C within 600 s.</v>
      </c>
      <c r="F12" s="5" t="s">
        <v>37</v>
      </c>
      <c r="G12" s="5" t="str">
        <f t="shared" si="0"/>
        <v>Enter Error. Stop the pump and turn the compressor off. Acknowledge returns to Ready.</v>
      </c>
    </row>
    <row r="13" spans="1:7" ht="48" customHeight="1" x14ac:dyDescent="0.35">
      <c r="A13" s="4">
        <v>9</v>
      </c>
      <c r="B13" s="4" t="s">
        <v>38</v>
      </c>
      <c r="C13" s="4" t="s">
        <v>39</v>
      </c>
      <c r="D13" s="4" t="s">
        <v>6</v>
      </c>
      <c r="E13" s="4" t="str">
        <f>CONCATENATE("Reported charge is below ",TEXT(Limits!B11,"0"),"%. The live tick leaves battery percent empty.")</f>
        <v>Reported charge is below 20%. The live tick leaves battery percent empty.</v>
      </c>
      <c r="F13" s="4" t="s">
        <v>40</v>
      </c>
      <c r="G13" s="4" t="str">
        <f t="shared" si="0"/>
        <v>Yellow banner only. The session keeps running. No acknowledge.</v>
      </c>
    </row>
    <row r="14" spans="1:7" ht="48" customHeight="1" x14ac:dyDescent="0.35">
      <c r="A14" s="5">
        <v>10</v>
      </c>
      <c r="B14" s="5" t="s">
        <v>41</v>
      </c>
      <c r="C14" s="5" t="s">
        <v>42</v>
      </c>
      <c r="D14" s="5" t="s">
        <v>6</v>
      </c>
      <c r="E14" s="5" t="s">
        <v>43</v>
      </c>
      <c r="F14" s="5" t="s">
        <v>44</v>
      </c>
      <c r="G14" s="5" t="str">
        <f t="shared" si="0"/>
        <v>Yellow banner only. The session keeps running. No acknowledge.</v>
      </c>
    </row>
    <row r="15" spans="1:7" ht="48" customHeight="1" x14ac:dyDescent="0.35">
      <c r="A15" s="4">
        <v>11</v>
      </c>
      <c r="B15" s="4" t="s">
        <v>45</v>
      </c>
      <c r="C15" s="4" t="s">
        <v>46</v>
      </c>
      <c r="D15" s="4" t="s">
        <v>6</v>
      </c>
      <c r="E15" s="4" t="str">
        <f>CONCATENATE("Free space on the local logs disk is below ",TEXT(Limits!B12,"0")," GB.")</f>
        <v>Free space on the local logs disk is below 1 GB.</v>
      </c>
      <c r="F15" s="4" t="str">
        <f>CONCATENATE("Yellow banner. Clears once free space is back above ",TEXT(Limits!B12,"0")," GB.")</f>
        <v>Yellow banner. Clears once free space is back above 1 GB.</v>
      </c>
      <c r="G15" s="4" t="str">
        <f t="shared" si="0"/>
        <v>Yellow banner only. The session keeps running. No acknowledge.</v>
      </c>
    </row>
    <row r="16" spans="1:7" ht="48" customHeight="1" x14ac:dyDescent="0.35">
      <c r="A16" s="5">
        <v>12</v>
      </c>
      <c r="B16" s="5" t="s">
        <v>47</v>
      </c>
      <c r="C16" s="5" t="s">
        <v>48</v>
      </c>
      <c r="D16" s="5" t="s">
        <v>6</v>
      </c>
      <c r="E16" s="5" t="str">
        <f>CONCATENATE("A mounted stick has less than ",TEXT(Limits!B12,"0")," GB free.")</f>
        <v>A mounted stick has less than 1 GB free.</v>
      </c>
      <c r="F16" s="5" t="str">
        <f>CONCATENATE("Yellow banner. Clears once free space is back above ",TEXT(Limits!B12,"0")," GB.")</f>
        <v>Yellow banner. Clears once free space is back above 1 GB.</v>
      </c>
      <c r="G16" s="5" t="str">
        <f t="shared" si="0"/>
        <v>Yellow banner only. The session keeps running. No acknowledge.</v>
      </c>
    </row>
    <row r="18" spans="1:7" x14ac:dyDescent="0.35">
      <c r="A18" s="14" t="s">
        <v>49</v>
      </c>
      <c r="B18" s="12"/>
      <c r="C18" s="12"/>
      <c r="D18" s="12"/>
      <c r="E18" s="12"/>
      <c r="F18" s="12"/>
      <c r="G18" s="12"/>
    </row>
  </sheetData>
  <autoFilter ref="A4:G16" xr:uid="{00000000-0009-0000-0000-000000000000}"/>
  <mergeCells count="3">
    <mergeCell ref="A3:G3"/>
    <mergeCell ref="A1:G1"/>
    <mergeCell ref="A18:G18"/>
  </mergeCells>
  <conditionalFormatting sqref="D5:D16">
    <cfRule type="expression" dxfId="1" priority="1">
      <formula>D5="Stop"</formula>
    </cfRule>
    <cfRule type="expression" dxfId="0" priority="2">
      <formula>D5="Message"</formula>
    </cfRule>
  </conditionalFormatting>
  <pageMargins left="0.5" right="0.5" top="0.5" bottom="0.5" header="0.5" footer="0.5"/>
  <pageSetup paperSize="3" orientation="landscape"/>
  <headerFooter>
    <oddHeader>&amp;LCool Spine</oddHeader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A6410"/>
    <pageSetUpPr fitToPage="1"/>
  </sheetPr>
  <dimension ref="A1:D14"/>
  <sheetViews>
    <sheetView showGridLines="0" zoomScale="12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4" customWidth="1"/>
    <col min="2" max="2" width="16" customWidth="1"/>
    <col min="3" max="3" width="10" customWidth="1"/>
    <col min="4" max="4" width="62" customWidth="1"/>
  </cols>
  <sheetData>
    <row r="1" spans="1:4" ht="20" x14ac:dyDescent="0.4">
      <c r="A1" s="13" t="s">
        <v>50</v>
      </c>
      <c r="B1" s="12"/>
      <c r="C1" s="12"/>
      <c r="D1" s="12"/>
    </row>
    <row r="2" spans="1:4" ht="36" customHeight="1" x14ac:dyDescent="0.35">
      <c r="A2" s="11" t="s">
        <v>51</v>
      </c>
      <c r="B2" s="12"/>
      <c r="C2" s="12"/>
      <c r="D2" s="12"/>
    </row>
    <row r="4" spans="1:4" x14ac:dyDescent="0.35">
      <c r="A4" s="3" t="s">
        <v>52</v>
      </c>
      <c r="B4" s="3" t="s">
        <v>53</v>
      </c>
      <c r="C4" s="3" t="s">
        <v>54</v>
      </c>
      <c r="D4" s="3" t="s">
        <v>55</v>
      </c>
    </row>
    <row r="5" spans="1:4" x14ac:dyDescent="0.35">
      <c r="A5" s="6" t="s">
        <v>56</v>
      </c>
      <c r="B5" s="7" t="s">
        <v>57</v>
      </c>
      <c r="C5" s="6"/>
      <c r="D5" s="6" t="s">
        <v>58</v>
      </c>
    </row>
    <row r="6" spans="1:4" x14ac:dyDescent="0.35">
      <c r="A6" s="8" t="s">
        <v>32</v>
      </c>
      <c r="B6" s="9">
        <v>28</v>
      </c>
      <c r="C6" s="8" t="s">
        <v>59</v>
      </c>
      <c r="D6" s="8" t="s">
        <v>60</v>
      </c>
    </row>
    <row r="7" spans="1:4" x14ac:dyDescent="0.35">
      <c r="A7" s="6" t="s">
        <v>61</v>
      </c>
      <c r="B7" s="7" t="s">
        <v>62</v>
      </c>
      <c r="C7" s="6"/>
      <c r="D7" s="6" t="s">
        <v>63</v>
      </c>
    </row>
    <row r="8" spans="1:4" x14ac:dyDescent="0.35">
      <c r="A8" s="8" t="s">
        <v>64</v>
      </c>
      <c r="B8" s="9">
        <v>-10</v>
      </c>
      <c r="C8" s="8" t="s">
        <v>59</v>
      </c>
      <c r="D8" s="8" t="s">
        <v>65</v>
      </c>
    </row>
    <row r="9" spans="1:4" x14ac:dyDescent="0.35">
      <c r="A9" s="6" t="s">
        <v>66</v>
      </c>
      <c r="B9" s="9">
        <v>600</v>
      </c>
      <c r="C9" s="6" t="s">
        <v>67</v>
      </c>
      <c r="D9" s="6" t="s">
        <v>68</v>
      </c>
    </row>
    <row r="10" spans="1:4" x14ac:dyDescent="0.35">
      <c r="A10" s="8" t="s">
        <v>69</v>
      </c>
      <c r="B10" s="10">
        <v>0.2</v>
      </c>
      <c r="C10" s="8" t="s">
        <v>59</v>
      </c>
      <c r="D10" s="8" t="s">
        <v>70</v>
      </c>
    </row>
    <row r="11" spans="1:4" x14ac:dyDescent="0.35">
      <c r="A11" s="6" t="s">
        <v>71</v>
      </c>
      <c r="B11" s="9">
        <v>20</v>
      </c>
      <c r="C11" s="6" t="s">
        <v>72</v>
      </c>
      <c r="D11" s="6" t="s">
        <v>73</v>
      </c>
    </row>
    <row r="12" spans="1:4" x14ac:dyDescent="0.35">
      <c r="A12" s="8" t="s">
        <v>74</v>
      </c>
      <c r="B12" s="9">
        <v>1</v>
      </c>
      <c r="C12" s="8" t="s">
        <v>75</v>
      </c>
      <c r="D12" s="8" t="s">
        <v>76</v>
      </c>
    </row>
    <row r="13" spans="1:4" x14ac:dyDescent="0.35">
      <c r="A13" s="6" t="s">
        <v>77</v>
      </c>
      <c r="B13" s="10">
        <v>0.5</v>
      </c>
      <c r="C13" s="6" t="s">
        <v>67</v>
      </c>
      <c r="D13" s="6" t="s">
        <v>78</v>
      </c>
    </row>
    <row r="14" spans="1:4" x14ac:dyDescent="0.35">
      <c r="A14" s="8" t="s">
        <v>79</v>
      </c>
      <c r="B14" s="7" t="s">
        <v>80</v>
      </c>
      <c r="C14" s="8"/>
      <c r="D14" s="8" t="s">
        <v>81</v>
      </c>
    </row>
  </sheetData>
  <mergeCells count="2">
    <mergeCell ref="A1:D1"/>
    <mergeCell ref="A2:D2"/>
  </mergeCells>
  <pageMargins left="0.5" right="0.5" top="0.5" bottom="0.5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Faults</vt:lpstr>
      <vt:lpstr>Limits</vt:lpstr>
      <vt:lpstr>Faults!Print_Titles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Fault messages and reactions</dc:title>
  <dc:subject>Cool Spine fault catalog</dc:subject>
  <dc:creator>Cool Spine</dc:creator>
  <cp:lastModifiedBy>Patryk Prezyna</cp:lastModifiedBy>
  <dcterms:created xsi:type="dcterms:W3CDTF">2026-10-20T21:06:42Z</dcterms:created>
  <dcterms:modified xsi:type="dcterms:W3CDTF">2026-10-20T21:07:09Z</dcterms:modified>
</cp:coreProperties>
</file>